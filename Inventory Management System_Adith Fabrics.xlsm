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Works\Projects\"/>
    </mc:Choice>
  </mc:AlternateContent>
  <xr:revisionPtr revIDLastSave="0" documentId="13_ncr:1_{F8CB6236-870F-4B64-B2E6-7DA3F3DBEE65}" xr6:coauthVersionLast="47" xr6:coauthVersionMax="47" xr10:uidLastSave="{00000000-0000-0000-0000-000000000000}"/>
  <bookViews>
    <workbookView xWindow="-108" yWindow="-108" windowWidth="23256" windowHeight="12576" tabRatio="748" xr2:uid="{00000000-000D-0000-FFFF-FFFF00000000}"/>
  </bookViews>
  <sheets>
    <sheet name="Settings" sheetId="11" r:id="rId1"/>
    <sheet name="Sheet1" sheetId="13" state="hidden" r:id="rId2"/>
    <sheet name="Report Print" sheetId="12" state="hidden" r:id="rId3"/>
    <sheet name="Product_Master" sheetId="1" state="hidden" r:id="rId4"/>
    <sheet name="Sale_Purchase" sheetId="2" state="hidden" r:id="rId5"/>
    <sheet name="Sale_Purchase_Display" sheetId="9" state="hidden" r:id="rId6"/>
    <sheet name="Inventory" sheetId="3" state="hidden" r:id="rId7"/>
    <sheet name="Report" sheetId="5" state="hidden" r:id="rId8"/>
    <sheet name="Inventory_Display" sheetId="10" state="hidden" r:id="rId9"/>
  </sheets>
  <definedNames>
    <definedName name="_xlnm._FilterDatabase" localSheetId="6" hidden="1">Inventory!$A$1:$E$22</definedName>
    <definedName name="_xlnm._FilterDatabase" localSheetId="3" hidden="1">Product_Master!$A$1:$E$1</definedName>
    <definedName name="_xlnm._FilterDatabase" localSheetId="4" hidden="1">Sale_Purchase!$A$1:$H$29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 l="1"/>
  <c r="C9" i="5"/>
</calcChain>
</file>

<file path=xl/sharedStrings.xml><?xml version="1.0" encoding="utf-8"?>
<sst xmlns="http://schemas.openxmlformats.org/spreadsheetml/2006/main" count="150" uniqueCount="29">
  <si>
    <t>Product Name</t>
  </si>
  <si>
    <t>Type</t>
  </si>
  <si>
    <t>Quantity</t>
  </si>
  <si>
    <t>Date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</si>
  <si>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</si>
  <si>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</si>
  <si>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</si>
  <si>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</si>
  <si>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</si>
  <si>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</si>
  <si>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</si>
  <si>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</si>
  <si>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</si>
  <si>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</si>
  <si>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</si>
  <si>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</si>
  <si>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</si>
  <si>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</si>
  <si>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</si>
  <si>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Cotton Shirt</t>
  </si>
  <si>
    <t>Silk Scarf</t>
  </si>
  <si>
    <t>Denim Jeans</t>
  </si>
  <si>
    <t>Woolen Sweater</t>
  </si>
  <si>
    <t>Leather Jacket</t>
  </si>
  <si>
    <t>Chiffon Dress</t>
  </si>
  <si>
    <t>Linen Trousers</t>
  </si>
  <si>
    <t>Polyester Blouse</t>
  </si>
  <si>
    <t>Cotton Kurta</t>
  </si>
  <si>
    <t>Silk Saree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</si>
</sst>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4"/>
      <color theme="0"/>
      <name val="Arial Rounded MT Bold"/>
      <family val="2"/>
    </font>
    <font>
      <b/>
      <sz val="24"/>
      <color theme="0"/>
      <name val="Arial Rounded MT Bold"/>
      <family val="2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0" applyFont="1"/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3" fontId="0" fillId="0" borderId="0" xfId="0" applyNumberFormat="1"/>
    <xf numFmtId="2" fontId="0" fillId="0" borderId="0" xfId="0" applyNumberFormat="1" applyAlignment="1">
      <alignment vertical="center" wrapText="1"/>
    </xf>
    <xf numFmtId="43" fontId="0" fillId="0" borderId="0" xfId="1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15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</cellXfs>
  <cellStyles count="2">
    <cellStyle name="Comma" xfId="1" builtinId="3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5B8EA"/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182880</xdr:colOff>
          <xdr:row>5</xdr:row>
          <xdr:rowOff>68580</xdr:rowOff>
        </xdr:from>
        <xdr:to>
          <xdr:col>8</xdr:col>
          <xdr:colOff>198120</xdr:colOff>
          <xdr:row>8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227372</xdr:colOff>
      <xdr:row>0</xdr:row>
      <xdr:rowOff>85090</xdr:rowOff>
    </xdr:from>
    <xdr:ext cx="10585398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6972" y="85090"/>
          <a:ext cx="10585398" cy="718466"/>
        </a:xfrm>
        <a:prstGeom prst="rect">
          <a:avLst/>
        </a:prstGeom>
        <a:solidFill>
          <a:srgbClr val="D5B8EA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chemeClr val="accent2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Inventory</a:t>
          </a:r>
          <a:r>
            <a:rPr lang="en-US" sz="4000" b="1" cap="none" spc="0" baseline="0">
              <a:ln w="0"/>
              <a:solidFill>
                <a:schemeClr val="accent2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Management System For Adith Fabrics</a:t>
          </a:r>
          <a:endParaRPr lang="en-US" sz="4000" b="1" cap="none" spc="0">
            <a:ln w="0"/>
            <a:solidFill>
              <a:schemeClr val="accent2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82550</xdr:colOff>
      <xdr:row>2</xdr:row>
      <xdr:rowOff>95250</xdr:rowOff>
    </xdr:from>
    <xdr:to>
      <xdr:col>1</xdr:col>
      <xdr:colOff>1619250</xdr:colOff>
      <xdr:row>4</xdr:row>
      <xdr:rowOff>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204470" y="613410"/>
          <a:ext cx="1536700" cy="270510"/>
          <a:chOff x="209550" y="622300"/>
          <a:chExt cx="1536700" cy="27305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47650" y="6286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2095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1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271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6F62A6-F9F1-461F-90A9-43BE474A1B87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01-Aug-24</a:t>
            </a:fld>
            <a:endParaRPr lang="en-IN" sz="1100" b="1"/>
          </a:p>
        </xdr:txBody>
      </xdr:sp>
    </xdr:grpSp>
    <xdr:clientData/>
  </xdr:twoCellAnchor>
  <xdr:twoCellAnchor editAs="absolute">
    <xdr:from>
      <xdr:col>4</xdr:col>
      <xdr:colOff>654050</xdr:colOff>
      <xdr:row>2</xdr:row>
      <xdr:rowOff>88900</xdr:rowOff>
    </xdr:from>
    <xdr:to>
      <xdr:col>5</xdr:col>
      <xdr:colOff>1047750</xdr:colOff>
      <xdr:row>4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4357370" y="607060"/>
          <a:ext cx="1513840" cy="276860"/>
          <a:chOff x="4432300" y="615950"/>
          <a:chExt cx="1536700" cy="279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476750" y="6159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44323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51498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99E25B8-393D-42DA-A5AD-34D95F90FB7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15-Aug-24</a:t>
            </a:fld>
            <a:endParaRPr lang="en-IN" sz="1100" b="1"/>
          </a:p>
        </xdr:txBody>
      </xdr:sp>
    </xdr:grpSp>
    <xdr:clientData/>
  </xdr:twoCellAnchor>
  <xdr:twoCellAnchor editAs="absolute">
    <xdr:from>
      <xdr:col>0</xdr:col>
      <xdr:colOff>63500</xdr:colOff>
      <xdr:row>4</xdr:row>
      <xdr:rowOff>101600</xdr:rowOff>
    </xdr:from>
    <xdr:to>
      <xdr:col>1</xdr:col>
      <xdr:colOff>1035385</xdr:colOff>
      <xdr:row>7</xdr:row>
      <xdr:rowOff>165100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63500" y="985520"/>
          <a:ext cx="1093805" cy="619760"/>
          <a:chOff x="63500" y="996950"/>
          <a:chExt cx="1098885" cy="6223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63500" y="996950"/>
            <a:ext cx="1098885" cy="622300"/>
          </a:xfrm>
          <a:prstGeom prst="rect">
            <a:avLst/>
          </a:prstGeom>
          <a:solidFill>
            <a:srgbClr val="800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5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1143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43237A74-AF75-4916-A4FC-7D28B68E62E9}" type="TxLink">
              <a:rPr lang="en-US" sz="1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Purchase</a:t>
            </a:fld>
            <a:endParaRPr lang="en-IN" sz="1050" b="1">
              <a:solidFill>
                <a:schemeClr val="bg1"/>
              </a:solidFill>
            </a:endParaRPr>
          </a:p>
        </xdr:txBody>
      </xdr:sp>
      <xdr:sp macro="" textlink="Report!C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143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B2326CA-11D3-4D70-9DC2-DDA4FDAACD26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cs typeface="Calibri"/>
              </a:rPr>
              <a:pPr algn="ctr"/>
              <a:t>26700.00</a:t>
            </a:fld>
            <a:endParaRPr lang="en-IN" sz="1400" b="0">
              <a:solidFill>
                <a:schemeClr val="bg1"/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1149266</xdr:colOff>
      <xdr:row>4</xdr:row>
      <xdr:rowOff>101600</xdr:rowOff>
    </xdr:from>
    <xdr:to>
      <xdr:col>2</xdr:col>
      <xdr:colOff>311401</xdr:colOff>
      <xdr:row>7</xdr:row>
      <xdr:rowOff>165100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271186" y="985520"/>
          <a:ext cx="1067135" cy="619760"/>
          <a:chOff x="1276266" y="996950"/>
          <a:chExt cx="1098885" cy="6223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1276266" y="996950"/>
            <a:ext cx="1098885" cy="622300"/>
          </a:xfrm>
          <a:prstGeom prst="rect">
            <a:avLst/>
          </a:prstGeom>
          <a:solidFill>
            <a:srgbClr val="808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6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132715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8E9AE3F-90A4-491B-BDF0-E5F0D783FB40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Sale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6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3271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D18D1F41-5AA3-45FB-B8B4-E6595EC8FF4F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131500.00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2</xdr:col>
      <xdr:colOff>425282</xdr:colOff>
      <xdr:row>4</xdr:row>
      <xdr:rowOff>101600</xdr:rowOff>
    </xdr:from>
    <xdr:to>
      <xdr:col>3</xdr:col>
      <xdr:colOff>666917</xdr:colOff>
      <xdr:row>7</xdr:row>
      <xdr:rowOff>165100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2452202" y="985520"/>
          <a:ext cx="1079835" cy="619760"/>
          <a:chOff x="2489032" y="996950"/>
          <a:chExt cx="1098885" cy="6223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2489032" y="996950"/>
            <a:ext cx="1098885" cy="622300"/>
          </a:xfrm>
          <a:prstGeom prst="rect">
            <a:avLst/>
          </a:prstGeom>
          <a:solidFill>
            <a:srgbClr val="008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7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5400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85CF9642-9E70-4C33-A745-074A8C624BE8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Profit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25400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C413B77-EC1C-4E6A-BED4-FCD0D33E2AF4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43750.00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730250</xdr:colOff>
      <xdr:row>4</xdr:row>
      <xdr:rowOff>101600</xdr:rowOff>
    </xdr:from>
    <xdr:to>
      <xdr:col>4</xdr:col>
      <xdr:colOff>1066800</xdr:colOff>
      <xdr:row>7</xdr:row>
      <xdr:rowOff>165100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3595370" y="985520"/>
          <a:ext cx="1174750" cy="619760"/>
          <a:chOff x="3651250" y="996950"/>
          <a:chExt cx="1193800" cy="622300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3701798" y="996950"/>
            <a:ext cx="1098885" cy="622300"/>
          </a:xfrm>
          <a:prstGeom prst="rect">
            <a:avLst/>
          </a:prstGeom>
          <a:solidFill>
            <a:srgbClr val="800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8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3651250" y="1346200"/>
            <a:ext cx="11938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7C59B48-5242-47A2-9A91-800BF642D72A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Quantity</a:t>
            </a:fld>
            <a:endParaRPr lang="en-IN" sz="9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 txBox="1"/>
        </xdr:nvSpPr>
        <xdr:spPr>
          <a:xfrm>
            <a:off x="37528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A2FD96B4-6690-4247-9699-B6A72AAFB6CE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43750.00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5</xdr:col>
      <xdr:colOff>935</xdr:colOff>
      <xdr:row>4</xdr:row>
      <xdr:rowOff>101600</xdr:rowOff>
    </xdr:from>
    <xdr:to>
      <xdr:col>5</xdr:col>
      <xdr:colOff>1092200</xdr:colOff>
      <xdr:row>7</xdr:row>
      <xdr:rowOff>165100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4824395" y="985520"/>
          <a:ext cx="1091265" cy="619760"/>
          <a:chOff x="4914565" y="996950"/>
          <a:chExt cx="1098885" cy="62230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4914565" y="996950"/>
            <a:ext cx="1098885" cy="622300"/>
          </a:xfrm>
          <a:prstGeom prst="rect">
            <a:avLst/>
          </a:prstGeom>
          <a:solidFill>
            <a:srgbClr val="00004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9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/>
        </xdr:nvSpPr>
        <xdr:spPr>
          <a:xfrm>
            <a:off x="4921250" y="1346200"/>
            <a:ext cx="10541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CE22F59-FAD2-40EA-92BC-9AC93CF2A8CA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Value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49657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DA0531D-AC6F-45DC-8308-AC6F2AEC2F13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43750.00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129540</xdr:colOff>
          <xdr:row>0</xdr:row>
          <xdr:rowOff>160020</xdr:rowOff>
        </xdr:from>
        <xdr:to>
          <xdr:col>11</xdr:col>
          <xdr:colOff>137160</xdr:colOff>
          <xdr:row>2</xdr:row>
          <xdr:rowOff>160020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22860</xdr:rowOff>
        </xdr:from>
        <xdr:to>
          <xdr:col>10</xdr:col>
          <xdr:colOff>91440</xdr:colOff>
          <xdr:row>2</xdr:row>
          <xdr:rowOff>167640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"/>
  <sheetViews>
    <sheetView showGridLines="0" tabSelected="1" workbookViewId="0">
      <selection activeCell="S22" sqref="S22"/>
    </sheetView>
  </sheetViews>
  <sheetFormatPr defaultRowHeight="14.4" x14ac:dyDescent="0.3"/>
  <cols>
    <col min="1" max="1" width="8.88671875" style="15"/>
    <col min="2" max="2" width="8.77734375" style="15" customWidth="1"/>
    <col min="3" max="16384" width="8.88671875" style="15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4</xdr:col>
                <xdr:colOff>182880</xdr:colOff>
                <xdr:row>5</xdr:row>
                <xdr:rowOff>68580</xdr:rowOff>
              </from>
              <to>
                <xdr:col>8</xdr:col>
                <xdr:colOff>198120</xdr:colOff>
                <xdr:row>8</xdr:row>
                <xdr:rowOff>38100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61897-0F63-44D4-B8D3-76E8DBEDC775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CCE5-47CD-41A6-A704-9D0A6E23F86F}">
  <sheetPr codeName="Sheet5"/>
  <dimension ref="A1:F32"/>
  <sheetViews>
    <sheetView showGridLines="0" workbookViewId="0">
      <selection activeCell="F15" sqref="F15"/>
    </sheetView>
  </sheetViews>
  <sheetFormatPr defaultRowHeight="14.4" x14ac:dyDescent="0.3"/>
  <cols>
    <col min="1" max="1" width="1.77734375" customWidth="1"/>
    <col min="2" max="2" width="27.77734375" customWidth="1"/>
    <col min="3" max="4" width="12.21875" customWidth="1"/>
    <col min="5" max="6" width="16.33203125" customWidth="1"/>
    <col min="7" max="7" width="9" customWidth="1"/>
    <col min="10" max="10" width="9" customWidth="1"/>
    <col min="13" max="13" width="8.21875" customWidth="1"/>
  </cols>
  <sheetData>
    <row r="1" spans="1:6" ht="19.05" customHeight="1" x14ac:dyDescent="0.3">
      <c r="A1" s="19"/>
      <c r="B1" s="19"/>
      <c r="C1" s="19"/>
      <c r="D1" s="19"/>
      <c r="E1" s="19"/>
      <c r="F1" s="19"/>
    </row>
    <row r="2" spans="1:6" ht="22.5" customHeight="1" x14ac:dyDescent="0.3">
      <c r="A2" s="19"/>
      <c r="B2" s="19"/>
      <c r="C2" s="19"/>
      <c r="D2" s="19"/>
      <c r="E2" s="19"/>
      <c r="F2" s="19"/>
    </row>
    <row r="5" spans="1:6" ht="15" customHeight="1" x14ac:dyDescent="0.3"/>
    <row r="6" spans="1:6" ht="14.55" customHeight="1" x14ac:dyDescent="0.3"/>
    <row r="9" spans="1:6" ht="9.4499999999999993" customHeight="1" x14ac:dyDescent="0.3"/>
    <row r="10" spans="1:6" ht="22.5" customHeight="1" x14ac:dyDescent="0.3">
      <c r="B10" s="18"/>
      <c r="C10" s="18"/>
      <c r="D10" s="18"/>
      <c r="E10" s="18"/>
      <c r="F10" s="18"/>
    </row>
    <row r="11" spans="1:6" ht="15" customHeight="1" x14ac:dyDescent="0.3">
      <c r="B11" s="3" t="s">
        <v>0</v>
      </c>
      <c r="C11" s="3" t="s">
        <v>6</v>
      </c>
      <c r="D11" s="3" t="s">
        <v>5</v>
      </c>
      <c r="E11" s="3" t="s">
        <v>14</v>
      </c>
      <c r="F11" s="3" t="s">
        <v>15</v>
      </c>
    </row>
    <row r="12" spans="1:6" ht="15" customHeight="1" x14ac:dyDescent="0.3">
      <c r="B12" s="2" t="s">
        <v>19</v>
      </c>
      <c r="C12" s="2">
        <v>0</v>
      </c>
      <c r="D12" s="2">
        <v>0</v>
      </c>
      <c r="E12" s="2">
        <v>0</v>
      </c>
      <c r="F12" s="12">
        <v>0</v>
      </c>
    </row>
    <row r="13" spans="1:6" ht="15" customHeight="1" x14ac:dyDescent="0.3">
      <c r="B13" s="2" t="s">
        <v>20</v>
      </c>
      <c r="C13" s="2">
        <v>0</v>
      </c>
      <c r="D13" s="2">
        <v>0</v>
      </c>
      <c r="E13" s="2">
        <v>0</v>
      </c>
      <c r="F13" s="12">
        <v>0</v>
      </c>
    </row>
    <row r="14" spans="1:6" ht="15" customHeight="1" x14ac:dyDescent="0.3">
      <c r="B14" s="2" t="s">
        <v>21</v>
      </c>
      <c r="C14" s="2">
        <v>0</v>
      </c>
      <c r="D14" s="2">
        <v>0</v>
      </c>
      <c r="E14" s="2">
        <v>0</v>
      </c>
      <c r="F14" s="12">
        <v>0</v>
      </c>
    </row>
    <row r="15" spans="1:6" ht="15" customHeight="1" x14ac:dyDescent="0.3">
      <c r="B15" s="2" t="s">
        <v>22</v>
      </c>
      <c r="C15" s="2">
        <v>0</v>
      </c>
      <c r="D15" s="2">
        <v>0</v>
      </c>
      <c r="E15" s="2">
        <v>0</v>
      </c>
      <c r="F15" s="12">
        <v>0</v>
      </c>
    </row>
    <row r="16" spans="1:6" ht="15" customHeight="1" x14ac:dyDescent="0.3">
      <c r="B16" s="2" t="s">
        <v>23</v>
      </c>
      <c r="C16" s="2">
        <v>0</v>
      </c>
      <c r="D16" s="2">
        <v>0</v>
      </c>
      <c r="E16" s="2">
        <v>0</v>
      </c>
      <c r="F16" s="12">
        <v>0</v>
      </c>
    </row>
    <row r="17" spans="2:6" ht="15" customHeight="1" x14ac:dyDescent="0.3">
      <c r="B17" s="2" t="s">
        <v>24</v>
      </c>
      <c r="C17" s="2">
        <v>0</v>
      </c>
      <c r="D17" s="2">
        <v>0</v>
      </c>
      <c r="E17" s="2">
        <v>0</v>
      </c>
      <c r="F17" s="12">
        <v>0</v>
      </c>
    </row>
    <row r="18" spans="2:6" ht="15" customHeight="1" x14ac:dyDescent="0.3">
      <c r="B18" s="2" t="s">
        <v>25</v>
      </c>
      <c r="C18" s="2">
        <v>0</v>
      </c>
      <c r="D18" s="2">
        <v>0</v>
      </c>
      <c r="E18" s="2">
        <v>0</v>
      </c>
      <c r="F18" s="12">
        <v>0</v>
      </c>
    </row>
    <row r="19" spans="2:6" ht="15" customHeight="1" x14ac:dyDescent="0.3">
      <c r="B19" s="2" t="s">
        <v>26</v>
      </c>
      <c r="C19" s="2">
        <v>0</v>
      </c>
      <c r="D19" s="2">
        <v>0</v>
      </c>
      <c r="E19" s="2">
        <v>0</v>
      </c>
      <c r="F19" s="12">
        <v>0</v>
      </c>
    </row>
    <row r="20" spans="2:6" ht="15" customHeight="1" x14ac:dyDescent="0.3">
      <c r="B20" s="2" t="s">
        <v>27</v>
      </c>
      <c r="C20" s="2">
        <v>0</v>
      </c>
      <c r="D20" s="2">
        <v>0</v>
      </c>
      <c r="E20" s="2">
        <v>0</v>
      </c>
      <c r="F20" s="12">
        <v>0</v>
      </c>
    </row>
    <row r="21" spans="2:6" ht="15" customHeight="1" x14ac:dyDescent="0.3">
      <c r="B21" s="2" t="s">
        <v>28</v>
      </c>
      <c r="C21" s="2">
        <v>0</v>
      </c>
      <c r="D21" s="2">
        <v>0</v>
      </c>
      <c r="E21" s="2">
        <v>0</v>
      </c>
      <c r="F21" s="12">
        <v>0</v>
      </c>
    </row>
    <row r="22" spans="2:6" ht="15" customHeight="1" x14ac:dyDescent="0.3">
      <c r="F22" s="8"/>
    </row>
    <row r="23" spans="2:6" ht="15" customHeight="1" x14ac:dyDescent="0.3">
      <c r="F23" s="8"/>
    </row>
    <row r="24" spans="2:6" ht="15" customHeight="1" x14ac:dyDescent="0.3">
      <c r="F24" s="8"/>
    </row>
    <row r="25" spans="2:6" ht="15" customHeight="1" x14ac:dyDescent="0.3">
      <c r="F25" s="8"/>
    </row>
    <row r="26" spans="2:6" ht="15" customHeight="1" x14ac:dyDescent="0.3">
      <c r="F26" s="8"/>
    </row>
    <row r="27" spans="2:6" x14ac:dyDescent="0.3">
      <c r="F27" s="8"/>
    </row>
    <row r="28" spans="2:6" x14ac:dyDescent="0.3">
      <c r="F28" s="8"/>
    </row>
    <row r="29" spans="2:6" x14ac:dyDescent="0.3">
      <c r="F29" s="8"/>
    </row>
    <row r="30" spans="2:6" x14ac:dyDescent="0.3">
      <c r="F30" s="8"/>
    </row>
    <row r="31" spans="2:6" x14ac:dyDescent="0.3">
      <c r="F31" s="8"/>
    </row>
    <row r="32" spans="2:6" x14ac:dyDescent="0.3">
      <c r="F32" s="8"/>
    </row>
  </sheetData>
  <mergeCells count="2">
    <mergeCell ref="B10:F10"/>
    <mergeCell ref="A1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7</xdr:col>
                <xdr:colOff>129540</xdr:colOff>
                <xdr:row>0</xdr:row>
                <xdr:rowOff>160020</xdr:rowOff>
              </from>
              <to>
                <xdr:col>11</xdr:col>
                <xdr:colOff>137160</xdr:colOff>
                <xdr:row>2</xdr:row>
                <xdr:rowOff>160020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1"/>
  <sheetViews>
    <sheetView showGridLines="0" workbookViewId="0">
      <selection activeCell="A2" sqref="A2"/>
    </sheetView>
  </sheetViews>
  <sheetFormatPr defaultRowHeight="14.4" x14ac:dyDescent="0.3"/>
  <cols>
    <col min="1" max="1" width="11.21875" style="1" customWidth="1"/>
    <col min="2" max="2" width="15.77734375" style="1" customWidth="1"/>
    <col min="3" max="4" width="15.77734375" style="14" customWidth="1"/>
    <col min="5" max="5" width="20" customWidth="1"/>
  </cols>
  <sheetData>
    <row r="1" spans="1:5" ht="15" customHeight="1" x14ac:dyDescent="0.3">
      <c r="A1" s="4" t="s">
        <v>18</v>
      </c>
      <c r="B1" s="4" t="s">
        <v>0</v>
      </c>
      <c r="C1" s="7" t="s">
        <v>9</v>
      </c>
      <c r="D1" s="7" t="s">
        <v>7</v>
      </c>
      <c r="E1" s="1"/>
    </row>
    <row r="2" spans="1:5" x14ac:dyDescent="0.3">
      <c r="A2" s="16">
        <v>1</v>
      </c>
      <c r="B2" s="16" t="s">
        <v>19</v>
      </c>
      <c r="C2" s="16">
        <v>450</v>
      </c>
      <c r="D2" s="16">
        <v>300</v>
      </c>
    </row>
    <row r="3" spans="1:5" x14ac:dyDescent="0.3">
      <c r="A3" s="16">
        <v>2</v>
      </c>
      <c r="B3" s="16" t="s">
        <v>20</v>
      </c>
      <c r="C3" s="16">
        <v>250</v>
      </c>
      <c r="D3" s="16">
        <v>150</v>
      </c>
    </row>
    <row r="4" spans="1:5" x14ac:dyDescent="0.3">
      <c r="A4" s="16">
        <v>3</v>
      </c>
      <c r="B4" s="16" t="s">
        <v>21</v>
      </c>
      <c r="C4" s="16">
        <v>700</v>
      </c>
      <c r="D4" s="16">
        <v>500</v>
      </c>
    </row>
    <row r="5" spans="1:5" x14ac:dyDescent="0.3">
      <c r="A5" s="16">
        <v>4</v>
      </c>
      <c r="B5" s="16" t="s">
        <v>22</v>
      </c>
      <c r="C5" s="17">
        <v>1000</v>
      </c>
      <c r="D5" s="16">
        <v>700</v>
      </c>
    </row>
    <row r="6" spans="1:5" x14ac:dyDescent="0.3">
      <c r="A6" s="16">
        <v>5</v>
      </c>
      <c r="B6" s="16" t="s">
        <v>23</v>
      </c>
      <c r="C6" s="17">
        <v>1800</v>
      </c>
      <c r="D6" s="17">
        <v>1200</v>
      </c>
    </row>
    <row r="7" spans="1:5" x14ac:dyDescent="0.3">
      <c r="A7" s="16">
        <v>6</v>
      </c>
      <c r="B7" s="16" t="s">
        <v>24</v>
      </c>
      <c r="C7" s="17">
        <v>1200</v>
      </c>
      <c r="D7" s="16">
        <v>800</v>
      </c>
    </row>
    <row r="8" spans="1:5" x14ac:dyDescent="0.3">
      <c r="A8" s="16">
        <v>7</v>
      </c>
      <c r="B8" s="16" t="s">
        <v>25</v>
      </c>
      <c r="C8" s="16">
        <v>600</v>
      </c>
      <c r="D8" s="16">
        <v>400</v>
      </c>
    </row>
    <row r="9" spans="1:5" x14ac:dyDescent="0.3">
      <c r="A9" s="16">
        <v>8</v>
      </c>
      <c r="B9" s="16" t="s">
        <v>26</v>
      </c>
      <c r="C9" s="16">
        <v>350</v>
      </c>
      <c r="D9" s="16">
        <v>200</v>
      </c>
    </row>
    <row r="10" spans="1:5" x14ac:dyDescent="0.3">
      <c r="A10" s="16">
        <v>9</v>
      </c>
      <c r="B10" s="16" t="s">
        <v>27</v>
      </c>
      <c r="C10" s="16">
        <v>500</v>
      </c>
      <c r="D10" s="16">
        <v>350</v>
      </c>
    </row>
    <row r="11" spans="1:5" x14ac:dyDescent="0.3">
      <c r="A11" s="16">
        <v>10</v>
      </c>
      <c r="B11" s="16" t="s">
        <v>28</v>
      </c>
      <c r="C11" s="17">
        <v>2200</v>
      </c>
      <c r="D11" s="17">
        <v>1500</v>
      </c>
    </row>
  </sheetData>
  <phoneticPr fontId="1" type="noConversion"/>
  <conditionalFormatting sqref="B12:B1048576 B1">
    <cfRule type="duplicateValues" dxfId="3" priority="1"/>
  </conditionalFormatting>
  <dataValidations count="1">
    <dataValidation type="custom" allowBlank="1" showInputMessage="1" showErrorMessage="1" errorTitle="Duplicate" error="Duplicate Entry" sqref="B1 B12:B1048576" xr:uid="{00000000-0002-0000-0100-000000000000}">
      <formula1>COUNTIF($B:$B,B1)&lt;2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76200</xdr:colOff>
                <xdr:row>0</xdr:row>
                <xdr:rowOff>22860</xdr:rowOff>
              </from>
              <to>
                <xdr:col>10</xdr:col>
                <xdr:colOff>91440</xdr:colOff>
                <xdr:row>2</xdr:row>
                <xdr:rowOff>167640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9"/>
  <sheetViews>
    <sheetView showGridLines="0" workbookViewId="0">
      <selection activeCell="E9" sqref="E9"/>
    </sheetView>
  </sheetViews>
  <sheetFormatPr defaultRowHeight="14.4" x14ac:dyDescent="0.3"/>
  <cols>
    <col min="1" max="1" width="8.77734375" style="1"/>
    <col min="2" max="2" width="15" customWidth="1"/>
    <col min="3" max="3" width="9.44140625" customWidth="1"/>
    <col min="4" max="4" width="10.44140625" style="10" customWidth="1"/>
    <col min="5" max="6" width="10.44140625" style="8" customWidth="1"/>
    <col min="7" max="7" width="9.77734375" style="6" bestFit="1" customWidth="1"/>
    <col min="8" max="8" width="13.5546875" customWidth="1"/>
  </cols>
  <sheetData>
    <row r="1" spans="1:8" x14ac:dyDescent="0.3">
      <c r="A1" s="4" t="s">
        <v>4</v>
      </c>
      <c r="B1" s="4" t="s">
        <v>0</v>
      </c>
      <c r="C1" s="4" t="s">
        <v>1</v>
      </c>
      <c r="D1" s="9" t="s">
        <v>2</v>
      </c>
      <c r="E1" s="7" t="s">
        <v>10</v>
      </c>
      <c r="F1" s="7" t="s">
        <v>8</v>
      </c>
      <c r="G1" s="5" t="s">
        <v>3</v>
      </c>
      <c r="H1" s="4" t="s">
        <v>13</v>
      </c>
    </row>
    <row r="2" spans="1:8" x14ac:dyDescent="0.3">
      <c r="A2" s="16">
        <v>1</v>
      </c>
      <c r="B2" s="16" t="s">
        <v>19</v>
      </c>
      <c r="C2" s="16" t="s">
        <v>6</v>
      </c>
      <c r="D2" s="25">
        <v>24</v>
      </c>
      <c r="E2" s="21">
        <v>300</v>
      </c>
      <c r="F2" s="21">
        <v>7200</v>
      </c>
      <c r="G2" s="24">
        <v>45498</v>
      </c>
      <c r="H2" s="16">
        <v>0</v>
      </c>
    </row>
    <row r="3" spans="1:8" x14ac:dyDescent="0.3">
      <c r="A3" s="16">
        <v>2</v>
      </c>
      <c r="B3" s="16" t="s">
        <v>19</v>
      </c>
      <c r="C3" s="16" t="s">
        <v>5</v>
      </c>
      <c r="D3" s="25">
        <v>20</v>
      </c>
      <c r="E3" s="21">
        <v>450</v>
      </c>
      <c r="F3" s="21">
        <v>9000</v>
      </c>
      <c r="G3" s="24">
        <v>45505</v>
      </c>
      <c r="H3" s="17">
        <v>3000</v>
      </c>
    </row>
    <row r="4" spans="1:8" x14ac:dyDescent="0.3">
      <c r="A4" s="16">
        <v>3</v>
      </c>
      <c r="B4" s="16" t="s">
        <v>20</v>
      </c>
      <c r="C4" s="16" t="s">
        <v>6</v>
      </c>
      <c r="D4" s="25">
        <v>60</v>
      </c>
      <c r="E4" s="21">
        <v>150</v>
      </c>
      <c r="F4" s="21">
        <v>9000</v>
      </c>
      <c r="G4" s="24">
        <v>45499</v>
      </c>
      <c r="H4" s="16">
        <v>0</v>
      </c>
    </row>
    <row r="5" spans="1:8" x14ac:dyDescent="0.3">
      <c r="A5" s="16">
        <v>4</v>
      </c>
      <c r="B5" s="16" t="s">
        <v>20</v>
      </c>
      <c r="C5" s="16" t="s">
        <v>5</v>
      </c>
      <c r="D5" s="25">
        <v>50</v>
      </c>
      <c r="E5" s="21">
        <v>250</v>
      </c>
      <c r="F5" s="21">
        <v>12500</v>
      </c>
      <c r="G5" s="24">
        <v>45506</v>
      </c>
      <c r="H5" s="17">
        <v>5000</v>
      </c>
    </row>
    <row r="6" spans="1:8" x14ac:dyDescent="0.3">
      <c r="A6" s="16">
        <v>5</v>
      </c>
      <c r="B6" s="16" t="s">
        <v>21</v>
      </c>
      <c r="C6" s="16" t="s">
        <v>6</v>
      </c>
      <c r="D6" s="25">
        <v>12</v>
      </c>
      <c r="E6" s="21">
        <v>500</v>
      </c>
      <c r="F6" s="21">
        <v>6000</v>
      </c>
      <c r="G6" s="24">
        <v>45500</v>
      </c>
      <c r="H6" s="16">
        <v>0</v>
      </c>
    </row>
    <row r="7" spans="1:8" x14ac:dyDescent="0.3">
      <c r="A7" s="16">
        <v>6</v>
      </c>
      <c r="B7" s="16" t="s">
        <v>21</v>
      </c>
      <c r="C7" s="16" t="s">
        <v>5</v>
      </c>
      <c r="D7" s="25">
        <v>10</v>
      </c>
      <c r="E7" s="21">
        <v>700</v>
      </c>
      <c r="F7" s="21">
        <v>7000</v>
      </c>
      <c r="G7" s="24">
        <v>45507</v>
      </c>
      <c r="H7" s="17">
        <v>2000</v>
      </c>
    </row>
    <row r="8" spans="1:8" x14ac:dyDescent="0.3">
      <c r="A8" s="16">
        <v>7</v>
      </c>
      <c r="B8" s="16" t="s">
        <v>22</v>
      </c>
      <c r="C8" s="16" t="s">
        <v>6</v>
      </c>
      <c r="D8" s="25">
        <v>36</v>
      </c>
      <c r="E8" s="21">
        <v>700</v>
      </c>
      <c r="F8" s="21">
        <v>25200</v>
      </c>
      <c r="G8" s="24">
        <v>45501</v>
      </c>
      <c r="H8" s="16">
        <v>0</v>
      </c>
    </row>
    <row r="9" spans="1:8" x14ac:dyDescent="0.3">
      <c r="A9" s="16">
        <v>8</v>
      </c>
      <c r="B9" s="16" t="s">
        <v>22</v>
      </c>
      <c r="C9" s="16" t="s">
        <v>5</v>
      </c>
      <c r="D9" s="25">
        <v>30</v>
      </c>
      <c r="E9" s="21">
        <v>1000</v>
      </c>
      <c r="F9" s="21">
        <v>30000</v>
      </c>
      <c r="G9" s="24">
        <v>45508</v>
      </c>
      <c r="H9" s="17">
        <v>9000</v>
      </c>
    </row>
    <row r="10" spans="1:8" x14ac:dyDescent="0.3">
      <c r="A10" s="16">
        <v>9</v>
      </c>
      <c r="B10" s="16" t="s">
        <v>23</v>
      </c>
      <c r="C10" s="16" t="s">
        <v>6</v>
      </c>
      <c r="D10" s="25">
        <v>6</v>
      </c>
      <c r="E10" s="21">
        <v>1200</v>
      </c>
      <c r="F10" s="21">
        <v>7200</v>
      </c>
      <c r="G10" s="24">
        <v>45502</v>
      </c>
      <c r="H10" s="16">
        <v>0</v>
      </c>
    </row>
    <row r="11" spans="1:8" x14ac:dyDescent="0.3">
      <c r="A11" s="16">
        <v>10</v>
      </c>
      <c r="B11" s="16" t="s">
        <v>23</v>
      </c>
      <c r="C11" s="16" t="s">
        <v>5</v>
      </c>
      <c r="D11" s="25">
        <v>5</v>
      </c>
      <c r="E11" s="21">
        <v>1800</v>
      </c>
      <c r="F11" s="21">
        <v>9000</v>
      </c>
      <c r="G11" s="24">
        <v>45509</v>
      </c>
      <c r="H11" s="17">
        <v>3000</v>
      </c>
    </row>
    <row r="12" spans="1:8" x14ac:dyDescent="0.3">
      <c r="A12" s="16">
        <v>11</v>
      </c>
      <c r="B12" s="16" t="s">
        <v>24</v>
      </c>
      <c r="C12" s="16" t="s">
        <v>6</v>
      </c>
      <c r="D12" s="25">
        <v>18</v>
      </c>
      <c r="E12" s="21">
        <v>800</v>
      </c>
      <c r="F12" s="21">
        <v>14400</v>
      </c>
      <c r="G12" s="24">
        <v>45503</v>
      </c>
      <c r="H12" s="16">
        <v>0</v>
      </c>
    </row>
    <row r="13" spans="1:8" x14ac:dyDescent="0.3">
      <c r="A13" s="16">
        <v>12</v>
      </c>
      <c r="B13" s="16" t="s">
        <v>24</v>
      </c>
      <c r="C13" s="16" t="s">
        <v>5</v>
      </c>
      <c r="D13" s="25">
        <v>15</v>
      </c>
      <c r="E13" s="21">
        <v>1200</v>
      </c>
      <c r="F13" s="21">
        <v>18000</v>
      </c>
      <c r="G13" s="24">
        <v>45510</v>
      </c>
      <c r="H13" s="17">
        <v>6000</v>
      </c>
    </row>
    <row r="14" spans="1:8" x14ac:dyDescent="0.3">
      <c r="A14" s="16">
        <v>13</v>
      </c>
      <c r="B14" s="16" t="s">
        <v>25</v>
      </c>
      <c r="C14" s="16" t="s">
        <v>6</v>
      </c>
      <c r="D14" s="25">
        <v>24</v>
      </c>
      <c r="E14" s="21">
        <v>400</v>
      </c>
      <c r="F14" s="21">
        <v>9600</v>
      </c>
      <c r="G14" s="24">
        <v>45504</v>
      </c>
      <c r="H14" s="16">
        <v>0</v>
      </c>
    </row>
    <row r="15" spans="1:8" x14ac:dyDescent="0.3">
      <c r="A15" s="16">
        <v>14</v>
      </c>
      <c r="B15" s="16" t="s">
        <v>25</v>
      </c>
      <c r="C15" s="16" t="s">
        <v>5</v>
      </c>
      <c r="D15" s="25">
        <v>20</v>
      </c>
      <c r="E15" s="21">
        <v>600</v>
      </c>
      <c r="F15" s="21">
        <v>12000</v>
      </c>
      <c r="G15" s="24">
        <v>45511</v>
      </c>
      <c r="H15" s="17">
        <v>4000</v>
      </c>
    </row>
    <row r="16" spans="1:8" x14ac:dyDescent="0.3">
      <c r="A16" s="16">
        <v>15</v>
      </c>
      <c r="B16" s="16" t="s">
        <v>26</v>
      </c>
      <c r="C16" s="16" t="s">
        <v>6</v>
      </c>
      <c r="D16" s="25">
        <v>36</v>
      </c>
      <c r="E16" s="21">
        <v>200</v>
      </c>
      <c r="F16" s="21">
        <v>7200</v>
      </c>
      <c r="G16" s="24">
        <v>45505</v>
      </c>
      <c r="H16" s="16">
        <v>0</v>
      </c>
    </row>
    <row r="17" spans="1:8" x14ac:dyDescent="0.3">
      <c r="A17" s="16">
        <v>16</v>
      </c>
      <c r="B17" s="16" t="s">
        <v>26</v>
      </c>
      <c r="C17" s="16" t="s">
        <v>5</v>
      </c>
      <c r="D17" s="25">
        <v>30</v>
      </c>
      <c r="E17" s="21">
        <v>350</v>
      </c>
      <c r="F17" s="21">
        <v>10500</v>
      </c>
      <c r="G17" s="24">
        <v>45512</v>
      </c>
      <c r="H17" s="17">
        <v>4500</v>
      </c>
    </row>
    <row r="18" spans="1:8" x14ac:dyDescent="0.3">
      <c r="A18" s="16">
        <v>17</v>
      </c>
      <c r="B18" s="16" t="s">
        <v>27</v>
      </c>
      <c r="C18" s="16" t="s">
        <v>6</v>
      </c>
      <c r="D18" s="25">
        <v>30</v>
      </c>
      <c r="E18" s="21">
        <v>350</v>
      </c>
      <c r="F18" s="21">
        <v>10500</v>
      </c>
      <c r="G18" s="24">
        <v>45506</v>
      </c>
      <c r="H18" s="16">
        <v>0</v>
      </c>
    </row>
    <row r="19" spans="1:8" x14ac:dyDescent="0.3">
      <c r="A19" s="16">
        <v>18</v>
      </c>
      <c r="B19" s="16" t="s">
        <v>27</v>
      </c>
      <c r="C19" s="16" t="s">
        <v>5</v>
      </c>
      <c r="D19" s="25">
        <v>25</v>
      </c>
      <c r="E19" s="21">
        <v>500</v>
      </c>
      <c r="F19" s="21">
        <v>12500</v>
      </c>
      <c r="G19" s="24">
        <v>45513</v>
      </c>
      <c r="H19" s="17">
        <v>3750</v>
      </c>
    </row>
    <row r="20" spans="1:8" x14ac:dyDescent="0.3">
      <c r="A20" s="16">
        <v>19</v>
      </c>
      <c r="B20" s="16" t="s">
        <v>28</v>
      </c>
      <c r="C20" s="16" t="s">
        <v>6</v>
      </c>
      <c r="D20" s="25">
        <v>6</v>
      </c>
      <c r="E20" s="21">
        <v>1500</v>
      </c>
      <c r="F20" s="21">
        <v>9000</v>
      </c>
      <c r="G20" s="24">
        <v>45507</v>
      </c>
      <c r="H20" s="16">
        <v>0</v>
      </c>
    </row>
    <row r="21" spans="1:8" x14ac:dyDescent="0.3">
      <c r="A21" s="16">
        <v>20</v>
      </c>
      <c r="B21" s="16" t="s">
        <v>28</v>
      </c>
      <c r="C21" s="16" t="s">
        <v>5</v>
      </c>
      <c r="D21" s="25">
        <v>5</v>
      </c>
      <c r="E21" s="21">
        <v>2200</v>
      </c>
      <c r="F21" s="21">
        <v>11000</v>
      </c>
      <c r="G21" s="24">
        <v>45514</v>
      </c>
      <c r="H21" s="17">
        <v>3500</v>
      </c>
    </row>
    <row r="22" spans="1:8" x14ac:dyDescent="0.3">
      <c r="A22" s="4"/>
      <c r="B22" s="4"/>
      <c r="C22" s="4"/>
      <c r="D22" s="9"/>
      <c r="E22" s="7"/>
      <c r="F22" s="7"/>
      <c r="G22" s="5"/>
      <c r="H22" s="4"/>
    </row>
    <row r="23" spans="1:8" x14ac:dyDescent="0.3">
      <c r="A23" s="4"/>
      <c r="B23" s="4"/>
      <c r="C23" s="4"/>
      <c r="D23" s="9"/>
      <c r="E23" s="7"/>
      <c r="F23" s="7"/>
      <c r="G23" s="5"/>
      <c r="H23" s="4"/>
    </row>
    <row r="24" spans="1:8" x14ac:dyDescent="0.3">
      <c r="A24" s="4"/>
      <c r="B24" s="4"/>
      <c r="C24" s="4"/>
      <c r="D24" s="9"/>
      <c r="E24" s="7"/>
      <c r="F24" s="7"/>
      <c r="G24" s="5"/>
      <c r="H24" s="4"/>
    </row>
    <row r="25" spans="1:8" x14ac:dyDescent="0.3">
      <c r="A25" s="4"/>
      <c r="B25" s="4"/>
      <c r="C25" s="4"/>
      <c r="D25" s="9"/>
      <c r="E25" s="7"/>
      <c r="F25" s="7"/>
      <c r="G25" s="5"/>
      <c r="H25" s="4"/>
    </row>
    <row r="26" spans="1:8" x14ac:dyDescent="0.3">
      <c r="A26" s="4"/>
      <c r="B26" s="4"/>
      <c r="C26" s="4"/>
      <c r="D26" s="9"/>
      <c r="E26" s="7"/>
      <c r="F26" s="7"/>
      <c r="G26" s="5"/>
      <c r="H26" s="4"/>
    </row>
    <row r="27" spans="1:8" x14ac:dyDescent="0.3">
      <c r="A27" s="4"/>
      <c r="B27" s="4"/>
      <c r="C27" s="4"/>
      <c r="D27" s="9"/>
      <c r="E27" s="7"/>
      <c r="F27" s="7"/>
      <c r="G27" s="5"/>
      <c r="H27" s="4"/>
    </row>
    <row r="28" spans="1:8" x14ac:dyDescent="0.3">
      <c r="A28" s="4"/>
      <c r="B28" s="4"/>
      <c r="C28" s="4"/>
      <c r="D28" s="9"/>
      <c r="E28" s="7"/>
      <c r="F28" s="7"/>
      <c r="G28" s="5"/>
      <c r="H28" s="4"/>
    </row>
    <row r="29" spans="1:8" x14ac:dyDescent="0.3">
      <c r="A29" s="4"/>
      <c r="B29" s="4"/>
      <c r="C29" s="4"/>
      <c r="D29" s="9"/>
      <c r="E29" s="7"/>
      <c r="F29" s="7"/>
      <c r="G29" s="5"/>
      <c r="H29" s="4"/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33"/>
  <sheetViews>
    <sheetView showGridLines="0" workbookViewId="0">
      <selection sqref="A1:H14"/>
    </sheetView>
  </sheetViews>
  <sheetFormatPr defaultRowHeight="14.4" x14ac:dyDescent="0.3"/>
  <sheetData>
    <row r="1" spans="1:8" x14ac:dyDescent="0.3">
      <c r="A1" t="s">
        <v>4</v>
      </c>
      <c r="B1" t="s">
        <v>0</v>
      </c>
      <c r="C1" t="s">
        <v>1</v>
      </c>
      <c r="D1" s="10" t="s">
        <v>2</v>
      </c>
      <c r="E1" s="8" t="s">
        <v>10</v>
      </c>
      <c r="F1" s="8" t="s">
        <v>8</v>
      </c>
      <c r="G1" s="6" t="s">
        <v>3</v>
      </c>
      <c r="H1" t="s">
        <v>13</v>
      </c>
    </row>
    <row r="2" spans="1:8" ht="28.8" x14ac:dyDescent="0.3">
      <c r="A2" s="16">
        <v>2</v>
      </c>
      <c r="B2" s="16" t="s">
        <v>19</v>
      </c>
      <c r="C2" s="16" t="s">
        <v>5</v>
      </c>
      <c r="D2" s="25">
        <v>20</v>
      </c>
      <c r="E2" s="21">
        <v>450</v>
      </c>
      <c r="F2" s="21">
        <v>9000</v>
      </c>
      <c r="G2" s="24">
        <v>45505</v>
      </c>
      <c r="H2" s="17">
        <v>3000</v>
      </c>
    </row>
    <row r="3" spans="1:8" x14ac:dyDescent="0.3">
      <c r="A3" s="16">
        <v>4</v>
      </c>
      <c r="B3" s="16" t="s">
        <v>20</v>
      </c>
      <c r="C3" s="16" t="s">
        <v>5</v>
      </c>
      <c r="D3" s="25">
        <v>50</v>
      </c>
      <c r="E3" s="21">
        <v>250</v>
      </c>
      <c r="F3" s="21">
        <v>12500</v>
      </c>
      <c r="G3" s="24">
        <v>45506</v>
      </c>
      <c r="H3" s="17">
        <v>5000</v>
      </c>
    </row>
    <row r="4" spans="1:8" ht="28.8" x14ac:dyDescent="0.3">
      <c r="A4" s="16">
        <v>6</v>
      </c>
      <c r="B4" s="16" t="s">
        <v>21</v>
      </c>
      <c r="C4" s="16" t="s">
        <v>5</v>
      </c>
      <c r="D4" s="25">
        <v>10</v>
      </c>
      <c r="E4" s="21">
        <v>700</v>
      </c>
      <c r="F4" s="21">
        <v>7000</v>
      </c>
      <c r="G4" s="24">
        <v>45507</v>
      </c>
      <c r="H4" s="17">
        <v>2000</v>
      </c>
    </row>
    <row r="5" spans="1:8" ht="28.8" x14ac:dyDescent="0.3">
      <c r="A5" s="16">
        <v>8</v>
      </c>
      <c r="B5" s="16" t="s">
        <v>22</v>
      </c>
      <c r="C5" s="16" t="s">
        <v>5</v>
      </c>
      <c r="D5" s="25">
        <v>30</v>
      </c>
      <c r="E5" s="21">
        <v>1000</v>
      </c>
      <c r="F5" s="21">
        <v>30000</v>
      </c>
      <c r="G5" s="24">
        <v>45508</v>
      </c>
      <c r="H5" s="17">
        <v>9000</v>
      </c>
    </row>
    <row r="6" spans="1:8" ht="28.8" x14ac:dyDescent="0.3">
      <c r="A6" s="16">
        <v>10</v>
      </c>
      <c r="B6" s="16" t="s">
        <v>23</v>
      </c>
      <c r="C6" s="16" t="s">
        <v>5</v>
      </c>
      <c r="D6" s="25">
        <v>5</v>
      </c>
      <c r="E6" s="21">
        <v>1800</v>
      </c>
      <c r="F6" s="21">
        <v>9000</v>
      </c>
      <c r="G6" s="24">
        <v>45509</v>
      </c>
      <c r="H6" s="17">
        <v>3000</v>
      </c>
    </row>
    <row r="7" spans="1:8" ht="28.8" x14ac:dyDescent="0.3">
      <c r="A7" s="16">
        <v>12</v>
      </c>
      <c r="B7" s="16" t="s">
        <v>24</v>
      </c>
      <c r="C7" s="16" t="s">
        <v>5</v>
      </c>
      <c r="D7" s="25">
        <v>15</v>
      </c>
      <c r="E7" s="21">
        <v>1200</v>
      </c>
      <c r="F7" s="21">
        <v>18000</v>
      </c>
      <c r="G7" s="24">
        <v>45510</v>
      </c>
      <c r="H7" s="17">
        <v>6000</v>
      </c>
    </row>
    <row r="8" spans="1:8" ht="28.8" x14ac:dyDescent="0.3">
      <c r="A8" s="16">
        <v>14</v>
      </c>
      <c r="B8" s="16" t="s">
        <v>25</v>
      </c>
      <c r="C8" s="16" t="s">
        <v>5</v>
      </c>
      <c r="D8" s="25">
        <v>20</v>
      </c>
      <c r="E8" s="21">
        <v>600</v>
      </c>
      <c r="F8" s="21">
        <v>12000</v>
      </c>
      <c r="G8" s="24">
        <v>45511</v>
      </c>
      <c r="H8" s="17">
        <v>4000</v>
      </c>
    </row>
    <row r="9" spans="1:8" ht="28.8" x14ac:dyDescent="0.3">
      <c r="A9" s="16">
        <v>15</v>
      </c>
      <c r="B9" s="16" t="s">
        <v>26</v>
      </c>
      <c r="C9" s="16" t="s">
        <v>6</v>
      </c>
      <c r="D9" s="25">
        <v>36</v>
      </c>
      <c r="E9" s="21">
        <v>200</v>
      </c>
      <c r="F9" s="21">
        <v>7200</v>
      </c>
      <c r="G9" s="24">
        <v>45505</v>
      </c>
      <c r="H9" s="16">
        <v>0</v>
      </c>
    </row>
    <row r="10" spans="1:8" ht="28.8" x14ac:dyDescent="0.3">
      <c r="A10" s="16">
        <v>16</v>
      </c>
      <c r="B10" s="16" t="s">
        <v>26</v>
      </c>
      <c r="C10" s="16" t="s">
        <v>5</v>
      </c>
      <c r="D10" s="25">
        <v>30</v>
      </c>
      <c r="E10" s="21">
        <v>350</v>
      </c>
      <c r="F10" s="21">
        <v>10500</v>
      </c>
      <c r="G10" s="24">
        <v>45512</v>
      </c>
      <c r="H10" s="17">
        <v>4500</v>
      </c>
    </row>
    <row r="11" spans="1:8" ht="28.8" x14ac:dyDescent="0.3">
      <c r="A11" s="16">
        <v>17</v>
      </c>
      <c r="B11" s="16" t="s">
        <v>27</v>
      </c>
      <c r="C11" s="16" t="s">
        <v>6</v>
      </c>
      <c r="D11" s="25">
        <v>30</v>
      </c>
      <c r="E11" s="21">
        <v>350</v>
      </c>
      <c r="F11" s="21">
        <v>10500</v>
      </c>
      <c r="G11" s="24">
        <v>45506</v>
      </c>
      <c r="H11" s="16">
        <v>0</v>
      </c>
    </row>
    <row r="12" spans="1:8" ht="28.8" x14ac:dyDescent="0.3">
      <c r="A12" s="16">
        <v>18</v>
      </c>
      <c r="B12" s="16" t="s">
        <v>27</v>
      </c>
      <c r="C12" s="16" t="s">
        <v>5</v>
      </c>
      <c r="D12" s="25">
        <v>25</v>
      </c>
      <c r="E12" s="21">
        <v>500</v>
      </c>
      <c r="F12" s="21">
        <v>12500</v>
      </c>
      <c r="G12" s="24">
        <v>45513</v>
      </c>
      <c r="H12" s="17">
        <v>3750</v>
      </c>
    </row>
    <row r="13" spans="1:8" x14ac:dyDescent="0.3">
      <c r="A13" s="16">
        <v>19</v>
      </c>
      <c r="B13" s="16" t="s">
        <v>28</v>
      </c>
      <c r="C13" s="16" t="s">
        <v>6</v>
      </c>
      <c r="D13" s="25">
        <v>6</v>
      </c>
      <c r="E13" s="21">
        <v>1500</v>
      </c>
      <c r="F13" s="21">
        <v>9000</v>
      </c>
      <c r="G13" s="24">
        <v>45507</v>
      </c>
      <c r="H13" s="16">
        <v>0</v>
      </c>
    </row>
    <row r="14" spans="1:8" x14ac:dyDescent="0.3">
      <c r="A14" s="16">
        <v>20</v>
      </c>
      <c r="B14" s="16" t="s">
        <v>28</v>
      </c>
      <c r="C14" s="16" t="s">
        <v>5</v>
      </c>
      <c r="D14" s="25">
        <v>5</v>
      </c>
      <c r="E14" s="21">
        <v>2200</v>
      </c>
      <c r="F14" s="21">
        <v>11000</v>
      </c>
      <c r="G14" s="24">
        <v>45514</v>
      </c>
      <c r="H14" s="17">
        <v>3500</v>
      </c>
    </row>
    <row r="15" spans="1:8" x14ac:dyDescent="0.3">
      <c r="A15" s="16"/>
      <c r="B15" s="16"/>
      <c r="C15" s="16"/>
      <c r="D15" s="16"/>
      <c r="E15" s="16"/>
      <c r="F15" s="17"/>
      <c r="G15" s="23"/>
      <c r="H15" s="17"/>
    </row>
    <row r="16" spans="1:8" x14ac:dyDescent="0.3">
      <c r="A16" s="16"/>
      <c r="B16" s="16"/>
      <c r="C16" s="16"/>
      <c r="D16" s="16"/>
      <c r="E16" s="16"/>
      <c r="F16" s="17"/>
      <c r="G16" s="23"/>
      <c r="H16" s="16"/>
    </row>
    <row r="17" spans="1:8" x14ac:dyDescent="0.3">
      <c r="A17" s="16"/>
      <c r="B17" s="16"/>
      <c r="C17" s="16"/>
      <c r="D17" s="16"/>
      <c r="E17" s="16"/>
      <c r="F17" s="17"/>
      <c r="G17" s="23"/>
      <c r="H17" s="17"/>
    </row>
    <row r="18" spans="1:8" x14ac:dyDescent="0.3">
      <c r="A18" s="16"/>
      <c r="B18" s="16"/>
      <c r="C18" s="16"/>
      <c r="D18" s="16"/>
      <c r="E18" s="16"/>
      <c r="F18" s="17"/>
      <c r="G18" s="23"/>
      <c r="H18" s="16"/>
    </row>
    <row r="19" spans="1:8" x14ac:dyDescent="0.3">
      <c r="A19" s="16"/>
      <c r="B19" s="16"/>
      <c r="C19" s="16"/>
      <c r="D19" s="16"/>
      <c r="E19" s="16"/>
      <c r="F19" s="17"/>
      <c r="G19" s="23"/>
      <c r="H19" s="17"/>
    </row>
    <row r="20" spans="1:8" x14ac:dyDescent="0.3">
      <c r="A20" s="16"/>
      <c r="B20" s="16"/>
      <c r="C20" s="16"/>
      <c r="D20" s="16"/>
      <c r="E20" s="17"/>
      <c r="F20" s="17"/>
      <c r="G20" s="23"/>
      <c r="H20" s="16"/>
    </row>
    <row r="21" spans="1:8" x14ac:dyDescent="0.3">
      <c r="A21" s="16"/>
      <c r="B21" s="16"/>
      <c r="C21" s="16"/>
      <c r="D21" s="16"/>
      <c r="E21" s="17"/>
      <c r="F21" s="17"/>
      <c r="G21" s="23"/>
      <c r="H21" s="17"/>
    </row>
    <row r="22" spans="1:8" x14ac:dyDescent="0.3">
      <c r="D22" s="10"/>
      <c r="E22" s="8"/>
      <c r="F22" s="8"/>
      <c r="G22" s="6"/>
    </row>
    <row r="23" spans="1:8" x14ac:dyDescent="0.3">
      <c r="D23" s="10"/>
      <c r="E23" s="8"/>
      <c r="F23" s="8"/>
      <c r="G23" s="6"/>
    </row>
    <row r="24" spans="1:8" x14ac:dyDescent="0.3">
      <c r="D24" s="10"/>
      <c r="E24" s="8"/>
      <c r="F24" s="8"/>
      <c r="G24" s="6"/>
    </row>
    <row r="25" spans="1:8" x14ac:dyDescent="0.3">
      <c r="D25" s="10"/>
      <c r="E25" s="8"/>
      <c r="F25" s="8"/>
      <c r="G25" s="6"/>
    </row>
    <row r="26" spans="1:8" x14ac:dyDescent="0.3">
      <c r="D26" s="10"/>
      <c r="E26" s="8"/>
      <c r="F26" s="8"/>
      <c r="G26" s="6"/>
    </row>
    <row r="27" spans="1:8" x14ac:dyDescent="0.3">
      <c r="D27" s="10"/>
      <c r="E27" s="8"/>
      <c r="F27" s="8"/>
      <c r="G27" s="6"/>
    </row>
    <row r="28" spans="1:8" x14ac:dyDescent="0.3">
      <c r="D28" s="10"/>
      <c r="E28" s="8"/>
      <c r="F28" s="8"/>
      <c r="G28" s="6"/>
    </row>
    <row r="29" spans="1:8" x14ac:dyDescent="0.3">
      <c r="D29" s="10"/>
      <c r="E29" s="8"/>
      <c r="F29" s="8"/>
      <c r="G29" s="6"/>
    </row>
    <row r="30" spans="1:8" x14ac:dyDescent="0.3">
      <c r="D30" s="10"/>
      <c r="E30" s="8"/>
      <c r="F30" s="8"/>
      <c r="G30" s="6"/>
    </row>
    <row r="31" spans="1:8" x14ac:dyDescent="0.3">
      <c r="D31" s="10"/>
      <c r="E31" s="8"/>
      <c r="F31" s="8"/>
      <c r="G31" s="6"/>
    </row>
    <row r="32" spans="1:8" x14ac:dyDescent="0.3">
      <c r="D32" s="10"/>
      <c r="E32" s="8"/>
      <c r="F32" s="8"/>
      <c r="G32" s="6"/>
    </row>
    <row r="33" spans="4:7" x14ac:dyDescent="0.3">
      <c r="D33" s="10"/>
      <c r="E33" s="8"/>
      <c r="F33" s="8"/>
      <c r="G33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2"/>
  <sheetViews>
    <sheetView showGridLines="0" workbookViewId="0">
      <selection sqref="A1:K22"/>
    </sheetView>
  </sheetViews>
  <sheetFormatPr defaultRowHeight="14.4" x14ac:dyDescent="0.3"/>
  <cols>
    <col min="1" max="1" width="15.77734375" style="1" customWidth="1"/>
    <col min="2" max="3" width="12.5546875" customWidth="1"/>
    <col min="4" max="4" width="14.5546875" bestFit="1" customWidth="1"/>
    <col min="5" max="5" width="12.21875" bestFit="1" customWidth="1"/>
  </cols>
  <sheetData>
    <row r="1" spans="1:11" x14ac:dyDescent="0.3">
      <c r="A1" s="4" t="s">
        <v>0</v>
      </c>
      <c r="B1" s="1" t="s">
        <v>6</v>
      </c>
      <c r="C1" s="1" t="s">
        <v>5</v>
      </c>
      <c r="D1" t="s">
        <v>14</v>
      </c>
      <c r="E1" s="1" t="s">
        <v>15</v>
      </c>
    </row>
    <row r="2" spans="1:11" x14ac:dyDescent="0.3">
      <c r="A2" s="16" t="s">
        <v>23</v>
      </c>
      <c r="B2" s="22">
        <v>6</v>
      </c>
      <c r="C2" s="22">
        <v>5</v>
      </c>
      <c r="D2" s="22">
        <v>1</v>
      </c>
      <c r="E2" s="22">
        <v>1800</v>
      </c>
      <c r="G2" s="16"/>
      <c r="H2" s="16"/>
      <c r="I2" s="16"/>
      <c r="J2" s="16"/>
      <c r="K2" s="17"/>
    </row>
    <row r="3" spans="1:11" x14ac:dyDescent="0.3">
      <c r="A3" s="16" t="s">
        <v>28</v>
      </c>
      <c r="B3" s="22">
        <v>6</v>
      </c>
      <c r="C3" s="22">
        <v>5</v>
      </c>
      <c r="D3" s="22">
        <v>1</v>
      </c>
      <c r="E3" s="22">
        <v>2200</v>
      </c>
      <c r="G3" s="16"/>
      <c r="H3" s="16"/>
      <c r="I3" s="16"/>
      <c r="J3" s="16"/>
      <c r="K3" s="17"/>
    </row>
    <row r="4" spans="1:11" x14ac:dyDescent="0.3">
      <c r="A4" s="16" t="s">
        <v>21</v>
      </c>
      <c r="B4" s="22">
        <v>12</v>
      </c>
      <c r="C4" s="22">
        <v>10</v>
      </c>
      <c r="D4" s="22">
        <v>2</v>
      </c>
      <c r="E4" s="22">
        <v>1400</v>
      </c>
      <c r="G4" s="16"/>
      <c r="H4" s="16"/>
      <c r="I4" s="16"/>
      <c r="J4" s="16"/>
      <c r="K4" s="17"/>
    </row>
    <row r="5" spans="1:11" x14ac:dyDescent="0.3">
      <c r="A5" s="16" t="s">
        <v>24</v>
      </c>
      <c r="B5" s="22">
        <v>18</v>
      </c>
      <c r="C5" s="22">
        <v>15</v>
      </c>
      <c r="D5" s="22">
        <v>3</v>
      </c>
      <c r="E5" s="22">
        <v>3600</v>
      </c>
      <c r="G5" s="16"/>
      <c r="H5" s="17"/>
      <c r="I5" s="17"/>
      <c r="J5" s="16"/>
      <c r="K5" s="17"/>
    </row>
    <row r="6" spans="1:11" x14ac:dyDescent="0.3">
      <c r="A6" s="16" t="s">
        <v>19</v>
      </c>
      <c r="B6" s="22">
        <v>24</v>
      </c>
      <c r="C6" s="22">
        <v>20</v>
      </c>
      <c r="D6" s="22">
        <v>4</v>
      </c>
      <c r="E6" s="22">
        <v>1800</v>
      </c>
      <c r="G6" s="16"/>
      <c r="H6" s="16"/>
      <c r="I6" s="16"/>
      <c r="J6" s="16"/>
      <c r="K6" s="17"/>
    </row>
    <row r="7" spans="1:11" x14ac:dyDescent="0.3">
      <c r="A7" s="16" t="s">
        <v>25</v>
      </c>
      <c r="B7" s="22">
        <v>24</v>
      </c>
      <c r="C7" s="22">
        <v>20</v>
      </c>
      <c r="D7" s="22">
        <v>4</v>
      </c>
      <c r="E7" s="22">
        <v>2400</v>
      </c>
      <c r="G7" s="16"/>
      <c r="H7" s="17"/>
      <c r="I7" s="17"/>
      <c r="J7" s="16"/>
      <c r="K7" s="17"/>
    </row>
    <row r="8" spans="1:11" x14ac:dyDescent="0.3">
      <c r="A8" s="16" t="s">
        <v>27</v>
      </c>
      <c r="B8" s="22">
        <v>30</v>
      </c>
      <c r="C8" s="22">
        <v>25</v>
      </c>
      <c r="D8" s="22">
        <v>5</v>
      </c>
      <c r="E8" s="22">
        <v>2500</v>
      </c>
      <c r="G8" s="16"/>
      <c r="H8" s="16"/>
      <c r="I8" s="17"/>
      <c r="J8" s="16"/>
      <c r="K8" s="17"/>
    </row>
    <row r="9" spans="1:11" x14ac:dyDescent="0.3">
      <c r="A9" s="16" t="s">
        <v>22</v>
      </c>
      <c r="B9" s="22">
        <v>36</v>
      </c>
      <c r="C9" s="22">
        <v>30</v>
      </c>
      <c r="D9" s="22">
        <v>6</v>
      </c>
      <c r="E9" s="22">
        <v>6000</v>
      </c>
      <c r="G9" s="16"/>
      <c r="H9" s="16"/>
      <c r="I9" s="17"/>
      <c r="J9" s="16"/>
      <c r="K9" s="17"/>
    </row>
    <row r="10" spans="1:11" x14ac:dyDescent="0.3">
      <c r="A10" s="16" t="s">
        <v>26</v>
      </c>
      <c r="B10" s="22">
        <v>36</v>
      </c>
      <c r="C10" s="22">
        <v>30</v>
      </c>
      <c r="D10" s="22">
        <v>6</v>
      </c>
      <c r="E10" s="22">
        <v>2100</v>
      </c>
      <c r="G10" s="16"/>
      <c r="H10" s="16"/>
      <c r="I10" s="16"/>
      <c r="J10" s="16"/>
      <c r="K10" s="17"/>
    </row>
    <row r="11" spans="1:11" x14ac:dyDescent="0.3">
      <c r="A11" s="16" t="s">
        <v>20</v>
      </c>
      <c r="B11" s="22">
        <v>60</v>
      </c>
      <c r="C11" s="22">
        <v>50</v>
      </c>
      <c r="D11" s="22">
        <v>10</v>
      </c>
      <c r="E11" s="22">
        <v>2500</v>
      </c>
      <c r="G11" s="16"/>
      <c r="H11" s="16"/>
      <c r="I11" s="16"/>
      <c r="J11" s="16"/>
      <c r="K11" s="17"/>
    </row>
    <row r="12" spans="1:11" x14ac:dyDescent="0.3">
      <c r="B12" s="1"/>
      <c r="C12" s="1"/>
      <c r="E12" s="8"/>
    </row>
    <row r="13" spans="1:11" x14ac:dyDescent="0.3">
      <c r="B13" s="1"/>
      <c r="C13" s="1"/>
      <c r="E13" s="8"/>
    </row>
    <row r="14" spans="1:11" x14ac:dyDescent="0.3">
      <c r="B14" s="1"/>
      <c r="C14" s="1"/>
      <c r="E14" s="8"/>
    </row>
    <row r="15" spans="1:11" x14ac:dyDescent="0.3">
      <c r="B15" s="1"/>
      <c r="C15" s="1"/>
      <c r="E15" s="8"/>
    </row>
    <row r="16" spans="1:11" x14ac:dyDescent="0.3">
      <c r="B16" s="1"/>
      <c r="C16" s="1"/>
      <c r="E16" s="8"/>
    </row>
    <row r="17" spans="2:5" x14ac:dyDescent="0.3">
      <c r="B17" s="1"/>
      <c r="C17" s="1"/>
      <c r="E17" s="8"/>
    </row>
    <row r="18" spans="2:5" x14ac:dyDescent="0.3">
      <c r="B18" s="1"/>
      <c r="C18" s="1"/>
      <c r="E18" s="8"/>
    </row>
    <row r="19" spans="2:5" x14ac:dyDescent="0.3">
      <c r="B19" s="1"/>
      <c r="C19" s="1"/>
      <c r="E19" s="8"/>
    </row>
    <row r="20" spans="2:5" x14ac:dyDescent="0.3">
      <c r="B20" s="1"/>
      <c r="C20" s="1"/>
      <c r="E20" s="8"/>
    </row>
    <row r="21" spans="2:5" x14ac:dyDescent="0.3">
      <c r="B21" s="1"/>
      <c r="C21" s="1"/>
      <c r="E21" s="8"/>
    </row>
    <row r="22" spans="2:5" x14ac:dyDescent="0.3">
      <c r="B22" s="1"/>
      <c r="C22" s="1"/>
      <c r="E22" s="8"/>
    </row>
  </sheetData>
  <sortState xmlns:xlrd2="http://schemas.microsoft.com/office/spreadsheetml/2017/richdata2" ref="A2:K22">
    <sortCondition ref="D1"/>
  </sortState>
  <conditionalFormatting sqref="A12:A1048576 A1">
    <cfRule type="duplicateValues" dxfId="0" priority="1"/>
  </conditionalFormatting>
  <dataValidations count="1">
    <dataValidation type="custom" allowBlank="1" showInputMessage="1" showErrorMessage="1" errorTitle="Duplicate" error="Duplicate Entry" sqref="A1 A12:A1048576" xr:uid="{4F7403E0-7DBF-429B-8BE9-A9826E52FE34}">
      <formula1>COUNTIF($B:$B,A1)&lt;2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C9"/>
  <sheetViews>
    <sheetView showGridLines="0" workbookViewId="0">
      <selection activeCell="D20" sqref="D20"/>
    </sheetView>
  </sheetViews>
  <sheetFormatPr defaultRowHeight="14.4" x14ac:dyDescent="0.3"/>
  <cols>
    <col min="1" max="1" width="6.21875" customWidth="1"/>
    <col min="2" max="2" width="17.44140625" customWidth="1"/>
    <col min="3" max="3" width="20" customWidth="1"/>
  </cols>
  <sheetData>
    <row r="1" spans="2:3" x14ac:dyDescent="0.3">
      <c r="B1" t="s">
        <v>11</v>
      </c>
      <c r="C1" s="13">
        <v>45505</v>
      </c>
    </row>
    <row r="2" spans="2:3" x14ac:dyDescent="0.3">
      <c r="B2" t="s">
        <v>12</v>
      </c>
      <c r="C2" s="13">
        <v>45519</v>
      </c>
    </row>
    <row r="3" spans="2:3" x14ac:dyDescent="0.3">
      <c r="C3" s="11"/>
    </row>
    <row r="4" spans="2:3" ht="15" customHeight="1" x14ac:dyDescent="0.3">
      <c r="B4" s="3" t="s">
        <v>1</v>
      </c>
      <c r="C4" s="3" t="s">
        <v>8</v>
      </c>
    </row>
    <row r="5" spans="2:3" ht="15" customHeight="1" x14ac:dyDescent="0.3">
      <c r="B5" s="2" t="s">
        <v>6</v>
      </c>
      <c r="C5" s="12">
        <f>SUMIFS(Sale_Purchase!F:F,Sale_Purchase!C:C,Report!B5,Sale_Purchase!G:G,"&gt;="&amp;$C$1,Sale_Purchase!G:G,"&lt;="&amp;$C$2)</f>
        <v>26700</v>
      </c>
    </row>
    <row r="6" spans="2:3" ht="15" customHeight="1" x14ac:dyDescent="0.3">
      <c r="B6" s="2" t="s">
        <v>5</v>
      </c>
      <c r="C6" s="12">
        <f>SUMIFS(Sale_Purchase!F:F,Sale_Purchase!C:C,Report!B6,Sale_Purchase!G:G,"&gt;="&amp;$C$1,Sale_Purchase!G:G,"&lt;="&amp;$C$2)</f>
        <v>131500</v>
      </c>
    </row>
    <row r="7" spans="2:3" x14ac:dyDescent="0.3">
      <c r="B7" s="2" t="s">
        <v>13</v>
      </c>
      <c r="C7" s="12">
        <f>SUMIFS(Sale_Purchase!H:H,Sale_Purchase!G:G,"&gt;="&amp;$C$1,Sale_Purchase!G:G,"&lt;="&amp;$C$2)</f>
        <v>43750</v>
      </c>
    </row>
    <row r="8" spans="2:3" x14ac:dyDescent="0.3">
      <c r="B8" s="2" t="s">
        <v>16</v>
      </c>
      <c r="C8" s="2">
        <f>SUM(Inventory!D:D)</f>
        <v>42</v>
      </c>
    </row>
    <row r="9" spans="2:3" x14ac:dyDescent="0.3">
      <c r="B9" s="2" t="s">
        <v>17</v>
      </c>
      <c r="C9" s="12">
        <f>SUM(Inventory!E:E)</f>
        <v>26300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22"/>
  <sheetViews>
    <sheetView showGridLines="0" workbookViewId="0">
      <selection sqref="A1:K22"/>
    </sheetView>
  </sheetViews>
  <sheetFormatPr defaultRowHeight="14.4" x14ac:dyDescent="0.3"/>
  <cols>
    <col min="1" max="5" width="15" customWidth="1"/>
  </cols>
  <sheetData>
    <row r="1" spans="1:11" x14ac:dyDescent="0.3">
      <c r="A1" t="s">
        <v>0</v>
      </c>
      <c r="B1" t="s">
        <v>6</v>
      </c>
      <c r="C1" t="s">
        <v>5</v>
      </c>
      <c r="D1" t="s">
        <v>14</v>
      </c>
      <c r="E1" t="s">
        <v>15</v>
      </c>
    </row>
    <row r="2" spans="1:11" x14ac:dyDescent="0.3">
      <c r="A2" t="s">
        <v>23</v>
      </c>
      <c r="B2" s="22">
        <v>6</v>
      </c>
      <c r="C2" s="22">
        <v>5</v>
      </c>
      <c r="D2" s="22">
        <v>1</v>
      </c>
      <c r="E2" s="22">
        <v>1800</v>
      </c>
      <c r="K2" s="20"/>
    </row>
    <row r="3" spans="1:11" x14ac:dyDescent="0.3">
      <c r="A3" t="s">
        <v>28</v>
      </c>
      <c r="B3" s="22">
        <v>6</v>
      </c>
      <c r="C3" s="22">
        <v>5</v>
      </c>
      <c r="D3" s="22">
        <v>1</v>
      </c>
      <c r="E3" s="22">
        <v>2200</v>
      </c>
      <c r="K3" s="20"/>
    </row>
    <row r="4" spans="1:11" x14ac:dyDescent="0.3">
      <c r="A4" t="s">
        <v>21</v>
      </c>
      <c r="B4" s="22">
        <v>12</v>
      </c>
      <c r="C4" s="22">
        <v>10</v>
      </c>
      <c r="D4" s="22">
        <v>2</v>
      </c>
      <c r="E4" s="22">
        <v>1400</v>
      </c>
      <c r="K4" s="20"/>
    </row>
    <row r="5" spans="1:11" x14ac:dyDescent="0.3">
      <c r="A5" t="s">
        <v>24</v>
      </c>
      <c r="B5" s="22">
        <v>18</v>
      </c>
      <c r="C5" s="22">
        <v>15</v>
      </c>
      <c r="D5" s="22">
        <v>3</v>
      </c>
      <c r="E5" s="22">
        <v>3600</v>
      </c>
      <c r="H5" s="20"/>
      <c r="I5" s="20"/>
      <c r="K5" s="20"/>
    </row>
    <row r="6" spans="1:11" x14ac:dyDescent="0.3">
      <c r="A6" t="s">
        <v>19</v>
      </c>
      <c r="B6" s="22">
        <v>24</v>
      </c>
      <c r="C6" s="22">
        <v>20</v>
      </c>
      <c r="D6" s="22">
        <v>4</v>
      </c>
      <c r="E6" s="22">
        <v>1800</v>
      </c>
      <c r="K6" s="20"/>
    </row>
    <row r="7" spans="1:11" x14ac:dyDescent="0.3">
      <c r="A7" t="s">
        <v>25</v>
      </c>
      <c r="B7" s="22">
        <v>24</v>
      </c>
      <c r="C7" s="22">
        <v>20</v>
      </c>
      <c r="D7" s="22">
        <v>4</v>
      </c>
      <c r="E7" s="22">
        <v>2400</v>
      </c>
      <c r="H7" s="20"/>
      <c r="I7" s="20"/>
      <c r="K7" s="20"/>
    </row>
    <row r="8" spans="1:11" x14ac:dyDescent="0.3">
      <c r="A8" t="s">
        <v>27</v>
      </c>
      <c r="B8" s="22">
        <v>30</v>
      </c>
      <c r="C8" s="22">
        <v>25</v>
      </c>
      <c r="D8" s="22">
        <v>5</v>
      </c>
      <c r="E8" s="22">
        <v>2500</v>
      </c>
      <c r="I8" s="20"/>
      <c r="K8" s="20"/>
    </row>
    <row r="9" spans="1:11" x14ac:dyDescent="0.3">
      <c r="A9" t="s">
        <v>22</v>
      </c>
      <c r="B9" s="22">
        <v>36</v>
      </c>
      <c r="C9" s="22">
        <v>30</v>
      </c>
      <c r="D9" s="22">
        <v>6</v>
      </c>
      <c r="E9" s="22">
        <v>6000</v>
      </c>
      <c r="I9" s="20"/>
      <c r="K9" s="20"/>
    </row>
    <row r="10" spans="1:11" x14ac:dyDescent="0.3">
      <c r="A10" t="s">
        <v>26</v>
      </c>
      <c r="B10" s="22">
        <v>36</v>
      </c>
      <c r="C10" s="22">
        <v>30</v>
      </c>
      <c r="D10" s="22">
        <v>6</v>
      </c>
      <c r="E10" s="22">
        <v>2100</v>
      </c>
      <c r="K10" s="20"/>
    </row>
    <row r="11" spans="1:11" x14ac:dyDescent="0.3">
      <c r="A11" t="s">
        <v>20</v>
      </c>
      <c r="B11" s="22">
        <v>60</v>
      </c>
      <c r="C11" s="22">
        <v>50</v>
      </c>
      <c r="D11" s="22">
        <v>10</v>
      </c>
      <c r="E11" s="22">
        <v>2500</v>
      </c>
      <c r="K11" s="20"/>
    </row>
    <row r="12" spans="1:11" x14ac:dyDescent="0.3">
      <c r="E12" s="8"/>
    </row>
    <row r="13" spans="1:11" x14ac:dyDescent="0.3">
      <c r="E13" s="8"/>
    </row>
    <row r="14" spans="1:11" x14ac:dyDescent="0.3">
      <c r="E14" s="8"/>
    </row>
    <row r="15" spans="1:11" x14ac:dyDescent="0.3">
      <c r="E15" s="8"/>
    </row>
    <row r="16" spans="1:11" x14ac:dyDescent="0.3">
      <c r="E16" s="8"/>
    </row>
    <row r="17" spans="5:5" x14ac:dyDescent="0.3">
      <c r="E17" s="8"/>
    </row>
    <row r="18" spans="5:5" x14ac:dyDescent="0.3">
      <c r="E18" s="8"/>
    </row>
    <row r="19" spans="5:5" x14ac:dyDescent="0.3">
      <c r="E19" s="8"/>
    </row>
    <row r="20" spans="5:5" x14ac:dyDescent="0.3">
      <c r="E20" s="8"/>
    </row>
    <row r="21" spans="5:5" x14ac:dyDescent="0.3">
      <c r="E21" s="8"/>
    </row>
    <row r="22" spans="5:5" x14ac:dyDescent="0.3">
      <c r="E2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Sheet1</vt:lpstr>
      <vt:lpstr>Report Print</vt:lpstr>
      <vt:lpstr>Product_Master</vt:lpstr>
      <vt:lpstr>Sale_Purchase</vt:lpstr>
      <vt:lpstr>Sale_Purchase_Display</vt:lpstr>
      <vt:lpstr>Inventory</vt:lpstr>
      <vt:lpstr>Report</vt:lpstr>
      <vt:lpstr>Inventory_Display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Zubayer ojhor</cp:lastModifiedBy>
  <cp:lastPrinted>2024-08-14T18:10:26Z</cp:lastPrinted>
  <dcterms:created xsi:type="dcterms:W3CDTF">2020-01-29T10:59:23Z</dcterms:created>
  <dcterms:modified xsi:type="dcterms:W3CDTF">2024-08-14T18:35:27Z</dcterms:modified>
</cp:coreProperties>
</file>